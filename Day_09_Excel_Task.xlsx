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xr:revisionPtr revIDLastSave="0" documentId="13_ncr:1_{168FBD6F-A7A0-4363-8DA5-33AF73A2742B}" xr6:coauthVersionLast="47" xr6:coauthVersionMax="47" xr10:uidLastSave="{00000000-0000-0000-0000-000000000000}"/>
  <bookViews>
    <workbookView minimized="1" xWindow="4200" yWindow="4200" windowWidth="14400" windowHeight="7810" xr2:uid="{00000000-000D-0000-FFFF-FFFF00000000}"/>
  </bookViews>
  <sheets>
    <sheet name="Day9" sheetId="1" r:id="rId1"/>
  </sheets>
  <definedNames>
    <definedName name="Slicer_Is_Fail">#N/A</definedName>
    <definedName name="Slicer_Last_Name">#N/A</definedName>
    <definedName name="Slicer_Student_ID">#N/A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7" i="1" l="1"/>
  <c r="G11" i="1"/>
  <c r="S9" i="1"/>
  <c r="R9" i="1"/>
  <c r="Q9" i="1"/>
  <c r="P9" i="1"/>
  <c r="O9" i="1"/>
  <c r="N9" i="1"/>
  <c r="M9" i="1"/>
  <c r="L9" i="1"/>
  <c r="I9" i="1"/>
  <c r="K9" i="1" s="1"/>
  <c r="S8" i="1"/>
  <c r="R8" i="1"/>
  <c r="Q8" i="1"/>
  <c r="P8" i="1"/>
  <c r="O8" i="1"/>
  <c r="N8" i="1"/>
  <c r="M8" i="1"/>
  <c r="L8" i="1"/>
  <c r="I8" i="1"/>
  <c r="J8" i="1" s="1"/>
  <c r="S7" i="1"/>
  <c r="R7" i="1"/>
  <c r="Q7" i="1"/>
  <c r="P7" i="1"/>
  <c r="O7" i="1"/>
  <c r="N7" i="1"/>
  <c r="M7" i="1"/>
  <c r="L7" i="1"/>
  <c r="I7" i="1"/>
  <c r="K7" i="1" s="1"/>
  <c r="S6" i="1"/>
  <c r="R6" i="1"/>
  <c r="Q6" i="1"/>
  <c r="P6" i="1"/>
  <c r="O6" i="1"/>
  <c r="N6" i="1"/>
  <c r="M6" i="1"/>
  <c r="L6" i="1"/>
  <c r="I6" i="1"/>
  <c r="K6" i="1" s="1"/>
  <c r="S5" i="1"/>
  <c r="R5" i="1"/>
  <c r="Q5" i="1"/>
  <c r="P5" i="1"/>
  <c r="O5" i="1"/>
  <c r="N5" i="1"/>
  <c r="M5" i="1"/>
  <c r="L5" i="1"/>
  <c r="I5" i="1"/>
  <c r="K5" i="1" s="1"/>
  <c r="K8" i="1" l="1"/>
  <c r="J7" i="1"/>
  <c r="G15" i="1"/>
  <c r="J6" i="1"/>
  <c r="G13" i="1"/>
  <c r="J5" i="1"/>
  <c r="J9" i="1"/>
</calcChain>
</file>

<file path=xl/sharedStrings.xml><?xml version="1.0" encoding="utf-8"?>
<sst xmlns="http://schemas.openxmlformats.org/spreadsheetml/2006/main" count="35" uniqueCount="35">
  <si>
    <t>Day 9</t>
  </si>
  <si>
    <t>Overwrite , Remove Space , Remove Special characters</t>
  </si>
  <si>
    <t>Student ID</t>
  </si>
  <si>
    <t>First Name</t>
  </si>
  <si>
    <t>Last Name</t>
  </si>
  <si>
    <t>Mathematics</t>
  </si>
  <si>
    <t>Science</t>
  </si>
  <si>
    <t>English</t>
  </si>
  <si>
    <t>Computer</t>
  </si>
  <si>
    <t>Social Science</t>
  </si>
  <si>
    <t>Total</t>
  </si>
  <si>
    <t>Average</t>
  </si>
  <si>
    <t>Percentage</t>
  </si>
  <si>
    <t>Is_Fail</t>
  </si>
  <si>
    <t>Marks Given in No of Sub</t>
  </si>
  <si>
    <t>Length of first name</t>
  </si>
  <si>
    <t>Capatilize first letter of first name</t>
  </si>
  <si>
    <t>Capatilize all letters of first name</t>
  </si>
  <si>
    <t>Remove special char</t>
  </si>
  <si>
    <t>Remove space</t>
  </si>
  <si>
    <t>overwrite(u-&gt;i)</t>
  </si>
  <si>
    <t xml:space="preserve">Shaurya   </t>
  </si>
  <si>
    <t>Khan</t>
  </si>
  <si>
    <t>Mahi</t>
  </si>
  <si>
    <t>Rastogi</t>
  </si>
  <si>
    <t>Ved@</t>
  </si>
  <si>
    <t>Sethi</t>
  </si>
  <si>
    <t>Tara</t>
  </si>
  <si>
    <t>Pillai</t>
  </si>
  <si>
    <t xml:space="preserve">        Ayush</t>
  </si>
  <si>
    <t>Nanda</t>
  </si>
  <si>
    <t>Total Subject</t>
  </si>
  <si>
    <t>No. of Pass Student</t>
  </si>
  <si>
    <t>Find Marks of Sanskriti in English</t>
  </si>
  <si>
    <t>No. of Fail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</si>
</sst>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/>
    <xf numFmtId="0" fontId="0" fillId="2" borderId="0" xfId="0" applyFill="1"/>
    <xf numFmtId="0" fontId="1" fillId="2" borderId="0" xfId="0" applyFont="1" applyFill="1"/>
    <xf numFmtId="0" fontId="4" fillId="0" borderId="0" xfId="0" applyFont="1" applyAlignment="1">
      <alignment horizontal="center"/>
    </xf>
    <xf numFmtId="0" fontId="5" fillId="0" borderId="0" xfId="0" applyFont="1"/>
    <xf numFmtId="0" fontId="0" fillId="0" borderId="0" xfId="0" applyAlignment="1">
      <alignment horizontal="center" vertical="center" wrapText="1"/>
    </xf>
    <xf numFmtId="0" fontId="3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24">
    <dxf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  <alignment horizontal="right" vertical="center" wrapText="1"/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346810" displayName="Table1346810" ref="A4:S9" totalsRowShown="0" headerRowDxfId="20" dataDxfId="0">
  <autoFilter ref="A4:S9" xr:uid="{00000000-0009-0000-0100-000001000000}"/>
  <tableColumns count="19">
    <tableColumn id="1" xr3:uid="{00000000-0010-0000-0000-000001000000}" name="Student ID" dataDxfId="19"/>
    <tableColumn id="2" xr3:uid="{00000000-0010-0000-0000-000002000000}" name="First Name" dataDxfId="18"/>
    <tableColumn id="3" xr3:uid="{00000000-0010-0000-0000-000003000000}" name="Last Name" dataDxfId="17"/>
    <tableColumn id="4" xr3:uid="{00000000-0010-0000-0000-000004000000}" name="Mathematics" dataDxfId="16"/>
    <tableColumn id="5" xr3:uid="{00000000-0010-0000-0000-000005000000}" name="Science" dataDxfId="15"/>
    <tableColumn id="6" xr3:uid="{00000000-0010-0000-0000-000006000000}" name="English" dataDxfId="14"/>
    <tableColumn id="7" xr3:uid="{00000000-0010-0000-0000-000007000000}" name="Computer" dataDxfId="13"/>
    <tableColumn id="8" xr3:uid="{00000000-0010-0000-0000-000008000000}" name="Social Science" dataDxfId="12"/>
    <tableColumn id="9" xr3:uid="{00000000-0010-0000-0000-000009000000}" name="Total" dataDxfId="11">
      <calculatedColumnFormula>SUM(D5:H5)</calculatedColumnFormula>
    </tableColumn>
    <tableColumn id="10" xr3:uid="{00000000-0010-0000-0000-00000A000000}" name="Average" dataDxfId="10">
      <calculatedColumnFormula>I5/5</calculatedColumnFormula>
    </tableColumn>
    <tableColumn id="11" xr3:uid="{00000000-0010-0000-0000-00000B000000}" name="Percentage" dataDxfId="9">
      <calculatedColumnFormula>(I5/500) *100</calculatedColumnFormula>
    </tableColumn>
    <tableColumn id="12" xr3:uid="{00000000-0010-0000-0000-00000C000000}" name="Is_Fail" dataDxfId="8">
      <calculatedColumnFormula>IF(SUMIF(Table1346810[[#This Row],[Mathematics]]:Table1346810[[#This Row],[Social Science]],"&gt;=50",Table1346810[[#This Row],[Mathematics]]:Table1346810[[#This Row],[Social Science]])=SUM(Table1346810[[#This Row],[Mathematics]]:Table1346810[[#This Row],[Social Science]]),"Pass","Fail")</calculatedColumnFormula>
    </tableColumn>
    <tableColumn id="13" xr3:uid="{00000000-0010-0000-0000-00000D000000}" name="Marks Given in No of Sub" dataDxfId="7">
      <calculatedColumnFormula>COUNTA(Table1346810[[#This Row],[Mathematics]]:Table1346810[[#This Row],[Social Science]])</calculatedColumnFormula>
    </tableColumn>
    <tableColumn id="14" xr3:uid="{00000000-0010-0000-0000-00000E000000}" name="Length of first name" dataDxfId="6">
      <calculatedColumnFormula>LEN(Table1346810[[#This Row],[First Name]])</calculatedColumnFormula>
    </tableColumn>
    <tableColumn id="15" xr3:uid="{00000000-0010-0000-0000-00000F000000}" name="Capatilize first letter of first name" dataDxfId="5">
      <calculatedColumnFormula>PROPER(Table1346810[[#This Row],[First Name]])</calculatedColumnFormula>
    </tableColumn>
    <tableColumn id="16" xr3:uid="{00000000-0010-0000-0000-000010000000}" name="Capatilize all letters of first name" dataDxfId="4">
      <calculatedColumnFormula>UPPER(Table1346810[[#This Row],[First Name]])</calculatedColumnFormula>
    </tableColumn>
    <tableColumn id="17" xr3:uid="{00000000-0010-0000-0000-000011000000}" name="Remove special char" dataDxfId="3">
      <calculatedColumnFormula>SUBSTITUTE(Table1346810[[#This Row],[First Name]],"@","")</calculatedColumnFormula>
    </tableColumn>
    <tableColumn id="18" xr3:uid="{00000000-0010-0000-0000-000012000000}" name="Remove space" dataDxfId="2">
      <calculatedColumnFormula>TRIM(Table1346810[[#This Row],[First Name]])</calculatedColumnFormula>
    </tableColumn>
    <tableColumn id="19" xr3:uid="{00000000-0010-0000-0000-000013000000}" name="overwrite(u-&gt;i)" dataDxfId="1">
      <calculatedColumnFormula>SUBSTITUTE(Table1346810[[#This Row],[First Name]],"u","i")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Shubh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"/>
  <sheetViews>
    <sheetView tabSelected="1" workbookViewId="0">
      <selection activeCell="A5" sqref="A5:S9"/>
    </sheetView>
  </sheetViews>
  <sheetFormatPr defaultRowHeight="14.5" x14ac:dyDescent="0.35"/>
  <cols>
    <col min="1" max="1" width="12.08984375" style="5" bestFit="1" customWidth="1"/>
    <col min="2" max="3" width="10.453125" style="5" bestFit="1" customWidth="1"/>
    <col min="4" max="4" width="8.1796875" style="5" bestFit="1" customWidth="1"/>
    <col min="5" max="5" width="7.36328125" style="5" bestFit="1" customWidth="1"/>
    <col min="6" max="6" width="28.81640625" style="5" bestFit="1" customWidth="1"/>
    <col min="7" max="7" width="10.36328125" style="5" customWidth="1"/>
    <col min="8" max="8" width="7.36328125" style="5" bestFit="1" customWidth="1"/>
    <col min="9" max="9" width="5.1796875" style="5" bestFit="1" customWidth="1"/>
    <col min="10" max="10" width="7.90625" style="5" bestFit="1" customWidth="1"/>
    <col min="11" max="11" width="8.453125" style="5" bestFit="1" customWidth="1"/>
    <col min="12" max="12" width="6.08984375" style="5" bestFit="1" customWidth="1"/>
    <col min="13" max="13" width="7.81640625" style="5" bestFit="1" customWidth="1"/>
  </cols>
  <sheetData>
    <row r="1" spans="1:19" s="6" customFormat="1" x14ac:dyDescent="0.35">
      <c r="F1" s="7"/>
      <c r="G1" s="6" t="s">
        <v>0</v>
      </c>
    </row>
    <row r="2" spans="1:19" ht="18.5" x14ac:dyDescent="0.45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4" spans="1:19" ht="72" customHeight="1" x14ac:dyDescent="0.35">
      <c r="A4" s="1" t="s">
        <v>2</v>
      </c>
      <c r="B4" s="1" t="s">
        <v>3</v>
      </c>
      <c r="C4" s="1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</row>
    <row r="5" spans="1:19" x14ac:dyDescent="0.35">
      <c r="A5" s="10">
        <v>1</v>
      </c>
      <c r="B5" s="10" t="s">
        <v>21</v>
      </c>
      <c r="C5" s="10" t="s">
        <v>22</v>
      </c>
      <c r="D5" s="10">
        <v>75</v>
      </c>
      <c r="E5" s="10">
        <v>72</v>
      </c>
      <c r="F5" s="10">
        <v>87</v>
      </c>
      <c r="G5" s="10">
        <v>86</v>
      </c>
      <c r="H5" s="10">
        <v>93</v>
      </c>
      <c r="I5" s="3">
        <f>SUM(D5:H5)</f>
        <v>413</v>
      </c>
      <c r="J5" s="3">
        <f>I5/5</f>
        <v>82.6</v>
      </c>
      <c r="K5" s="3">
        <f>(I5/500) *100</f>
        <v>82.6</v>
      </c>
      <c r="L5" s="3" t="str">
        <f>IF(SUMIF(Table1346810[[#This Row],[Mathematics]]:Table1346810[[#This Row],[Social Science]],"&gt;=50",Table1346810[[#This Row],[Mathematics]]:Table1346810[[#This Row],[Social Science]])=SUM(Table1346810[[#This Row],[Mathematics]]:Table1346810[[#This Row],[Social Science]]),"Pass","Fail")</f>
        <v>Pass</v>
      </c>
      <c r="M5" s="3">
        <f>COUNTA(Table1346810[[#This Row],[Mathematics]]:Table1346810[[#This Row],[Social Science]])</f>
        <v>5</v>
      </c>
      <c r="N5" s="3">
        <f>LEN(Table1346810[[#This Row],[First Name]])</f>
        <v>10</v>
      </c>
      <c r="O5" s="3" t="str">
        <f>PROPER(Table1346810[[#This Row],[First Name]])</f>
        <v xml:space="preserve">Shaurya   </v>
      </c>
      <c r="P5" s="3" t="str">
        <f>UPPER(Table1346810[[#This Row],[First Name]])</f>
        <v xml:space="preserve">SHAURYA   </v>
      </c>
      <c r="Q5" s="3" t="str">
        <f>SUBSTITUTE(Table1346810[[#This Row],[First Name]],"@","")</f>
        <v xml:space="preserve">Shaurya   </v>
      </c>
      <c r="R5" s="3" t="str">
        <f>TRIM(Table1346810[[#This Row],[First Name]])</f>
        <v>Shaurya</v>
      </c>
      <c r="S5" s="3" t="str">
        <f>SUBSTITUTE(Table1346810[[#This Row],[First Name]],"u","i")</f>
        <v xml:space="preserve">Shairya   </v>
      </c>
    </row>
    <row r="6" spans="1:19" x14ac:dyDescent="0.35">
      <c r="A6" s="10">
        <v>2</v>
      </c>
      <c r="B6" s="10" t="s">
        <v>23</v>
      </c>
      <c r="C6" s="10" t="s">
        <v>24</v>
      </c>
      <c r="D6" s="10">
        <v>61</v>
      </c>
      <c r="E6" s="10">
        <v>64</v>
      </c>
      <c r="F6" s="10">
        <v>72</v>
      </c>
      <c r="G6" s="10">
        <v>90</v>
      </c>
      <c r="H6" s="10">
        <v>89</v>
      </c>
      <c r="I6" s="3">
        <f>SUM(D6:H6)</f>
        <v>376</v>
      </c>
      <c r="J6" s="3">
        <f>I6/5</f>
        <v>75.2</v>
      </c>
      <c r="K6" s="3">
        <f>(I6/500) *100</f>
        <v>75.2</v>
      </c>
      <c r="L6" s="3" t="str">
        <f>IF(SUMIF(Table1346810[[#This Row],[Mathematics]]:Table1346810[[#This Row],[Social Science]],"&gt;=50",Table1346810[[#This Row],[Mathematics]]:Table1346810[[#This Row],[Social Science]])=SUM(Table1346810[[#This Row],[Mathematics]]:Table1346810[[#This Row],[Social Science]]),"Pass","Fail")</f>
        <v>Pass</v>
      </c>
      <c r="M6" s="3">
        <f>COUNTA(Table1346810[[#This Row],[Mathematics]]:Table1346810[[#This Row],[Social Science]])</f>
        <v>5</v>
      </c>
      <c r="N6" s="3">
        <f>LEN(Table1346810[[#This Row],[First Name]])</f>
        <v>4</v>
      </c>
      <c r="O6" s="3" t="str">
        <f>PROPER(Table1346810[[#This Row],[First Name]])</f>
        <v>Mahi</v>
      </c>
      <c r="P6" s="3" t="str">
        <f>UPPER(Table1346810[[#This Row],[First Name]])</f>
        <v>MAHI</v>
      </c>
      <c r="Q6" s="3" t="str">
        <f>SUBSTITUTE(Table1346810[[#This Row],[First Name]],"@","")</f>
        <v>Mahi</v>
      </c>
      <c r="R6" s="3" t="str">
        <f>TRIM(Table1346810[[#This Row],[First Name]])</f>
        <v>Mahi</v>
      </c>
      <c r="S6" s="3" t="str">
        <f>SUBSTITUTE(Table1346810[[#This Row],[First Name]],"u","i")</f>
        <v>Mahi</v>
      </c>
    </row>
    <row r="7" spans="1:19" x14ac:dyDescent="0.35">
      <c r="A7" s="10">
        <v>3</v>
      </c>
      <c r="B7" s="11" t="s">
        <v>25</v>
      </c>
      <c r="C7" s="10" t="s">
        <v>26</v>
      </c>
      <c r="D7" s="10">
        <v>77</v>
      </c>
      <c r="E7" s="10">
        <v>94</v>
      </c>
      <c r="F7" s="10">
        <v>91</v>
      </c>
      <c r="G7" s="10">
        <v>63</v>
      </c>
      <c r="H7" s="10">
        <v>73</v>
      </c>
      <c r="I7" s="3">
        <f>SUM(D7:H7)</f>
        <v>398</v>
      </c>
      <c r="J7" s="3">
        <f>I7/5</f>
        <v>79.599999999999994</v>
      </c>
      <c r="K7" s="3">
        <f>(I7/500) *100</f>
        <v>79.600000000000009</v>
      </c>
      <c r="L7" s="3" t="str">
        <f>IF(SUMIF(Table1346810[[#This Row],[Mathematics]]:Table1346810[[#This Row],[Social Science]],"&gt;=50",Table1346810[[#This Row],[Mathematics]]:Table1346810[[#This Row],[Social Science]])=SUM(Table1346810[[#This Row],[Mathematics]]:Table1346810[[#This Row],[Social Science]]),"Pass","Fail")</f>
        <v>Pass</v>
      </c>
      <c r="M7" s="3">
        <f>COUNTA(Table1346810[[#This Row],[Mathematics]]:Table1346810[[#This Row],[Social Science]])</f>
        <v>5</v>
      </c>
      <c r="N7" s="3">
        <f>LEN(Table1346810[[#This Row],[First Name]])</f>
        <v>4</v>
      </c>
      <c r="O7" s="3" t="str">
        <f>PROPER(Table1346810[[#This Row],[First Name]])</f>
        <v>Ved@</v>
      </c>
      <c r="P7" s="3" t="str">
        <f>UPPER(Table1346810[[#This Row],[First Name]])</f>
        <v>VED@</v>
      </c>
      <c r="Q7" s="3" t="str">
        <f>SUBSTITUTE(Table1346810[[#This Row],[First Name]],"@","")</f>
        <v>Ved</v>
      </c>
      <c r="R7" s="3" t="str">
        <f>TRIM(Table1346810[[#This Row],[First Name]])</f>
        <v>Ved@</v>
      </c>
      <c r="S7" s="3" t="str">
        <f>SUBSTITUTE(Table1346810[[#This Row],[First Name]],"u","i")</f>
        <v>Ved@</v>
      </c>
    </row>
    <row r="8" spans="1:19" x14ac:dyDescent="0.35">
      <c r="A8" s="10">
        <v>4</v>
      </c>
      <c r="B8" s="10" t="s">
        <v>27</v>
      </c>
      <c r="C8" s="10" t="s">
        <v>28</v>
      </c>
      <c r="D8" s="10">
        <v>86</v>
      </c>
      <c r="E8" s="10"/>
      <c r="F8" s="10">
        <v>75</v>
      </c>
      <c r="G8" s="10">
        <v>85</v>
      </c>
      <c r="H8" s="10">
        <v>68</v>
      </c>
      <c r="I8" s="3">
        <f>SUM(D8:H8)</f>
        <v>314</v>
      </c>
      <c r="J8" s="3">
        <f>I8/5</f>
        <v>62.8</v>
      </c>
      <c r="K8" s="3">
        <f>(I8/500) *100</f>
        <v>62.8</v>
      </c>
      <c r="L8" s="3" t="str">
        <f>IF(SUMIF(Table1346810[[#This Row],[Mathematics]]:Table1346810[[#This Row],[Social Science]],"&gt;=50",Table1346810[[#This Row],[Mathematics]]:Table1346810[[#This Row],[Social Science]])=SUM(Table1346810[[#This Row],[Mathematics]]:Table1346810[[#This Row],[Social Science]]),"Pass","Fail")</f>
        <v>Pass</v>
      </c>
      <c r="M8" s="3">
        <f>COUNTA(Table1346810[[#This Row],[Mathematics]]:Table1346810[[#This Row],[Social Science]])</f>
        <v>4</v>
      </c>
      <c r="N8" s="3">
        <f>LEN(Table1346810[[#This Row],[First Name]])</f>
        <v>4</v>
      </c>
      <c r="O8" s="3" t="str">
        <f>PROPER(Table1346810[[#This Row],[First Name]])</f>
        <v>Tara</v>
      </c>
      <c r="P8" s="3" t="str">
        <f>UPPER(Table1346810[[#This Row],[First Name]])</f>
        <v>TARA</v>
      </c>
      <c r="Q8" s="3" t="str">
        <f>SUBSTITUTE(Table1346810[[#This Row],[First Name]],"@","")</f>
        <v>Tara</v>
      </c>
      <c r="R8" s="3" t="str">
        <f>TRIM(Table1346810[[#This Row],[First Name]])</f>
        <v>Tara</v>
      </c>
      <c r="S8" s="3" t="str">
        <f>SUBSTITUTE(Table1346810[[#This Row],[First Name]],"u","i")</f>
        <v>Tara</v>
      </c>
    </row>
    <row r="9" spans="1:19" x14ac:dyDescent="0.35">
      <c r="A9" s="10">
        <v>5</v>
      </c>
      <c r="B9" s="10" t="s">
        <v>29</v>
      </c>
      <c r="C9" s="10" t="s">
        <v>30</v>
      </c>
      <c r="D9" s="10">
        <v>77</v>
      </c>
      <c r="E9" s="10">
        <v>93</v>
      </c>
      <c r="F9" s="10">
        <v>91</v>
      </c>
      <c r="G9" s="10">
        <v>78</v>
      </c>
      <c r="H9" s="10">
        <v>62</v>
      </c>
      <c r="I9" s="3">
        <f>SUM(D9:H9)</f>
        <v>401</v>
      </c>
      <c r="J9" s="3">
        <f>I9/5</f>
        <v>80.2</v>
      </c>
      <c r="K9" s="3">
        <f>(I9/500) *100</f>
        <v>80.2</v>
      </c>
      <c r="L9" s="3" t="str">
        <f>IF(SUMIF(Table1346810[[#This Row],[Mathematics]]:Table1346810[[#This Row],[Social Science]],"&gt;=50",Table1346810[[#This Row],[Mathematics]]:Table1346810[[#This Row],[Social Science]])=SUM(Table1346810[[#This Row],[Mathematics]]:Table1346810[[#This Row],[Social Science]]),"Pass","Fail")</f>
        <v>Pass</v>
      </c>
      <c r="M9" s="3">
        <f>COUNTA(Table1346810[[#This Row],[Mathematics]]:Table1346810[[#This Row],[Social Science]])</f>
        <v>5</v>
      </c>
      <c r="N9" s="3">
        <f>LEN(Table1346810[[#This Row],[First Name]])</f>
        <v>13</v>
      </c>
      <c r="O9" s="3" t="str">
        <f>PROPER(Table1346810[[#This Row],[First Name]])</f>
        <v xml:space="preserve">        Ayush</v>
      </c>
      <c r="P9" s="3" t="str">
        <f>UPPER(Table1346810[[#This Row],[First Name]])</f>
        <v xml:space="preserve">        AYUSH</v>
      </c>
      <c r="Q9" s="3" t="str">
        <f>SUBSTITUTE(Table1346810[[#This Row],[First Name]],"@","")</f>
        <v xml:space="preserve">        Ayush</v>
      </c>
      <c r="R9" s="3" t="str">
        <f>TRIM(Table1346810[[#This Row],[First Name]])</f>
        <v>Ayush</v>
      </c>
      <c r="S9" s="3" t="str">
        <f>SUBSTITUTE(Table1346810[[#This Row],[First Name]],"u","i")</f>
        <v xml:space="preserve">        Ayish</v>
      </c>
    </row>
    <row r="11" spans="1:19" x14ac:dyDescent="0.35">
      <c r="F11" s="4" t="s">
        <v>31</v>
      </c>
      <c r="G11">
        <f>COUNT(D5:H5)</f>
        <v>5</v>
      </c>
    </row>
    <row r="13" spans="1:19" x14ac:dyDescent="0.35">
      <c r="F13" s="4" t="s">
        <v>32</v>
      </c>
      <c r="G13">
        <f>COUNTIF(Table1346810[Is_Fail],"Pass")</f>
        <v>5</v>
      </c>
    </row>
    <row r="15" spans="1:19" x14ac:dyDescent="0.35">
      <c r="F15" s="4" t="s">
        <v>34</v>
      </c>
      <c r="G15">
        <f>COUNTIF(Table1346810[Is_Fail],"Fail")</f>
        <v>0</v>
      </c>
    </row>
    <row r="17" spans="6:7" x14ac:dyDescent="0.35">
      <c r="F17" s="4" t="s">
        <v>33</v>
      </c>
      <c r="G17">
        <f>VLOOKUP(A5,Table1346810[#All],6,FALSE)</f>
        <v>87</v>
      </c>
    </row>
  </sheetData>
  <mergeCells count="1">
    <mergeCell ref="A2:S2"/>
  </mergeCells>
  <conditionalFormatting sqref="L5:L9">
    <cfRule type="containsText" dxfId="23" priority="1" operator="containsText" text="Pass">
      <formula>NOT(ISERROR(SEARCH("Pass",L5)))</formula>
    </cfRule>
    <cfRule type="containsText" dxfId="22" priority="2" operator="containsText" text="Fail">
      <formula>NOT(ISERROR(SEARCH("Fail",L5)))</formula>
    </cfRule>
    <cfRule type="containsText" dxfId="21" priority="3" operator="containsText" text="Fail">
      <formula>NOT(ISERROR(SEARCH("Fail",L5)))</formula>
    </cfRule>
  </conditionalFormatting>
  <hyperlinks>
    <hyperlink ref="B7" r:id="rId1" xr:uid="{00000000-0004-0000-0000-000000000000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Agrim Saxena</dc:creator>
  <cp:lastModifiedBy>Vaishnavi Varshney</cp:lastModifiedBy>
  <dcterms:created xsi:type="dcterms:W3CDTF">2026-09-21T12:46:15Z</dcterms:created>
  <dcterms:modified xsi:type="dcterms:W3CDTF">2026-09-21T17:41:26Z</dcterms:modified>
</cp:coreProperties>
</file>