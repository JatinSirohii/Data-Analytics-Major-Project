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03A1B482-75DA-424F-BE25-BDCCD0981D5A}" xr6:coauthVersionLast="47" xr6:coauthVersionMax="47" xr10:uidLastSave="{00000000-0000-0000-0000-000000000000}"/>
  <bookViews>
    <workbookView minimized="1" xWindow="3520" yWindow="3520" windowWidth="14400" windowHeight="7810" xr2:uid="{00000000-000D-0000-FFFF-FFFF00000000}"/>
  </bookViews>
  <sheets>
    <sheet name="Day8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P9" i="1"/>
  <c r="O9" i="1"/>
  <c r="N9" i="1"/>
  <c r="M9" i="1"/>
  <c r="L9" i="1"/>
  <c r="I9" i="1"/>
  <c r="K9" i="1" s="1"/>
  <c r="P8" i="1"/>
  <c r="O8" i="1"/>
  <c r="N8" i="1"/>
  <c r="M8" i="1"/>
  <c r="L8" i="1"/>
  <c r="I8" i="1"/>
  <c r="K8" i="1" s="1"/>
  <c r="P7" i="1"/>
  <c r="O7" i="1"/>
  <c r="N7" i="1"/>
  <c r="M7" i="1"/>
  <c r="L7" i="1"/>
  <c r="I7" i="1"/>
  <c r="K7" i="1" s="1"/>
  <c r="P6" i="1"/>
  <c r="O6" i="1"/>
  <c r="N6" i="1"/>
  <c r="M6" i="1"/>
  <c r="L6" i="1"/>
  <c r="I6" i="1"/>
  <c r="K6" i="1" s="1"/>
  <c r="P5" i="1"/>
  <c r="O5" i="1"/>
  <c r="N5" i="1"/>
  <c r="M5" i="1"/>
  <c r="L5" i="1"/>
  <c r="I5" i="1"/>
  <c r="K5" i="1" s="1"/>
  <c r="G15" i="1" l="1"/>
  <c r="J5" i="1"/>
  <c r="J6" i="1"/>
  <c r="J7" i="1"/>
  <c r="J8" i="1"/>
  <c r="J9" i="1"/>
  <c r="G13" i="1"/>
</calcChain>
</file>

<file path=xl/sharedStrings.xml><?xml version="1.0" encoding="utf-8"?>
<sst xmlns="http://schemas.openxmlformats.org/spreadsheetml/2006/main" count="32" uniqueCount="32">
  <si>
    <t>Day 8</t>
  </si>
  <si>
    <t>Higlight Cells , Vlookup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</si>
  <si>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</si>
  <si>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</si>
  <si>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</si>
  <si>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</si>
  <si>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</si>
  <si>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</si>
  <si>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</si>
  <si>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</si>
  <si>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</si>
  <si>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</si>
  <si>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</si>
  <si>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</si>
  <si>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</si>
  <si>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</si>
  <si>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</si>
  <si>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</si>
  <si>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Atharv</t>
  </si>
  <si>
    <t>Jain</t>
  </si>
  <si>
    <t>Navya</t>
  </si>
  <si>
    <t>Suri</t>
  </si>
  <si>
    <t>Vivaan</t>
  </si>
  <si>
    <t>Bedi</t>
  </si>
  <si>
    <t>Ira</t>
  </si>
  <si>
    <t>Menon</t>
  </si>
  <si>
    <t>Raj</t>
  </si>
  <si>
    <t>Oberoi</t>
  </si>
  <si>
    <t>Total Subject</t>
  </si>
  <si>
    <t>No. of Pass Student</t>
  </si>
  <si>
    <t>Find Marks of Athrav in English</t>
  </si>
  <si>
    <t>No. of Fail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</si>
</sst>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1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" displayName="Table13468" ref="A4:P9" totalsRowShown="0" headerRowDxfId="17" dataDxfId="0">
  <autoFilter ref="A4:P9" xr:uid="{00000000-0009-0000-0100-000001000000}"/>
  <tableColumns count="16">
    <tableColumn id="1" xr3:uid="{00000000-0010-0000-0000-000001000000}" name="Student ID" dataDxfId="16"/>
    <tableColumn id="2" xr3:uid="{00000000-0010-0000-0000-000002000000}" name="First Name" dataDxfId="15"/>
    <tableColumn id="3" xr3:uid="{00000000-0010-0000-0000-000003000000}" name="Last Name" dataDxfId="14"/>
    <tableColumn id="4" xr3:uid="{00000000-0010-0000-0000-000004000000}" name="Mathematics" dataDxfId="13"/>
    <tableColumn id="5" xr3:uid="{00000000-0010-0000-0000-000005000000}" name="Science" dataDxfId="12"/>
    <tableColumn id="6" xr3:uid="{00000000-0010-0000-0000-000006000000}" name="English" dataDxfId="11"/>
    <tableColumn id="7" xr3:uid="{00000000-0010-0000-0000-000007000000}" name="Computer" dataDxfId="10"/>
    <tableColumn id="8" xr3:uid="{00000000-0010-0000-0000-000008000000}" name="Social Science" dataDxfId="9"/>
    <tableColumn id="9" xr3:uid="{00000000-0010-0000-0000-000009000000}" name="Total" dataDxfId="8">
      <calculatedColumnFormula>SUM(D5:H5)</calculatedColumnFormula>
    </tableColumn>
    <tableColumn id="10" xr3:uid="{00000000-0010-0000-0000-00000A000000}" name="Average" dataDxfId="7">
      <calculatedColumnFormula>I5/5</calculatedColumnFormula>
    </tableColumn>
    <tableColumn id="11" xr3:uid="{00000000-0010-0000-0000-00000B000000}" name="Percentage" dataDxfId="6">
      <calculatedColumnFormula>(I5/500) *100</calculatedColumnFormula>
    </tableColumn>
    <tableColumn id="12" xr3:uid="{00000000-0010-0000-0000-00000C000000}" name="Is_Fail" dataDxfId="5">
      <calculatedColumnFormula>IF(SUMIF(Table13468[[#This Row],[Mathematics]]:Table13468[[#This Row],[Social Science]],"&gt;=50",Table13468[[#This Row],[Mathematics]]:Table13468[[#This Row],[Social Science]])=SUM(Table13468[[#This Row],[Mathematics]]:Table13468[[#This Row],[Social Science]]),"Pass","Fail")</calculatedColumnFormula>
    </tableColumn>
    <tableColumn id="13" xr3:uid="{00000000-0010-0000-0000-00000D000000}" name="Marks Given in No of Sub" dataDxfId="4">
      <calculatedColumnFormula>COUNTA(Table13468[[#This Row],[Mathematics]]:Table13468[[#This Row],[Social Science]])</calculatedColumnFormula>
    </tableColumn>
    <tableColumn id="14" xr3:uid="{00000000-0010-0000-0000-00000E000000}" name="Length of first name" dataDxfId="3">
      <calculatedColumnFormula>LEN(Table13468[[#This Row],[First Name]])</calculatedColumnFormula>
    </tableColumn>
    <tableColumn id="15" xr3:uid="{00000000-0010-0000-0000-00000F000000}" name="Capatilize first letter of first name" dataDxfId="2">
      <calculatedColumnFormula>PROPER(Table13468[[#This Row],[First Name]])</calculatedColumnFormula>
    </tableColumn>
    <tableColumn id="16" xr3:uid="{00000000-0010-0000-0000-000010000000}" name="Capatilize all letters of first name" dataDxfId="1">
      <calculatedColumnFormula>UPPER(Table13468[[#This Row],[First Name]])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5" sqref="A5:P9"/>
    </sheetView>
  </sheetViews>
  <sheetFormatPr defaultRowHeight="14.5" x14ac:dyDescent="0.35"/>
  <cols>
    <col min="1" max="1" width="12.08984375" style="5" bestFit="1" customWidth="1"/>
    <col min="2" max="3" width="10.453125" style="5" bestFit="1" customWidth="1"/>
    <col min="4" max="4" width="12.1796875" style="5" customWidth="1"/>
    <col min="5" max="5" width="7.36328125" style="5" bestFit="1" customWidth="1"/>
    <col min="6" max="6" width="28.81640625" style="5" bestFit="1" customWidth="1"/>
    <col min="7" max="7" width="9.81640625" style="5" customWidth="1"/>
    <col min="8" max="8" width="7.36328125" style="5" bestFit="1" customWidth="1"/>
    <col min="9" max="9" width="5.1796875" style="5" bestFit="1" customWidth="1"/>
    <col min="10" max="10" width="7.90625" style="5" bestFit="1" customWidth="1"/>
    <col min="11" max="11" width="8.453125" style="5" bestFit="1" customWidth="1"/>
    <col min="12" max="12" width="6.08984375" style="5" bestFit="1" customWidth="1"/>
    <col min="13" max="13" width="7.81640625" style="5" bestFit="1" customWidth="1"/>
  </cols>
  <sheetData>
    <row r="1" spans="1:16" x14ac:dyDescent="0.35">
      <c r="A1" s="6"/>
      <c r="B1" s="6"/>
      <c r="C1" s="6"/>
      <c r="D1" s="6"/>
      <c r="E1" s="6"/>
      <c r="F1" s="7"/>
      <c r="G1" s="6" t="s">
        <v>0</v>
      </c>
      <c r="H1" s="6"/>
      <c r="I1" s="6"/>
      <c r="J1" s="6"/>
      <c r="K1" s="6"/>
      <c r="L1" s="6"/>
      <c r="M1" s="6"/>
      <c r="N1" s="6"/>
      <c r="O1" s="6"/>
      <c r="P1" s="6"/>
    </row>
    <row r="2" spans="1:16" ht="18.5" x14ac:dyDescent="0.4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16" ht="72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35">
      <c r="A5" s="10">
        <v>1</v>
      </c>
      <c r="B5" s="10" t="s">
        <v>18</v>
      </c>
      <c r="C5" s="10" t="s">
        <v>19</v>
      </c>
      <c r="D5" s="10">
        <v>66</v>
      </c>
      <c r="E5" s="10">
        <v>63</v>
      </c>
      <c r="F5" s="10">
        <v>82</v>
      </c>
      <c r="G5" s="10">
        <v>75</v>
      </c>
      <c r="H5" s="10">
        <v>82</v>
      </c>
      <c r="I5" s="3">
        <f>SUM(D5:H5)</f>
        <v>368</v>
      </c>
      <c r="J5" s="3">
        <f>I5/5</f>
        <v>73.599999999999994</v>
      </c>
      <c r="K5" s="3">
        <f>(I5/500) *100</f>
        <v>73.599999999999994</v>
      </c>
      <c r="L5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5" s="3">
        <f>COUNTA(Table13468[[#This Row],[Mathematics]]:Table13468[[#This Row],[Social Science]])</f>
        <v>5</v>
      </c>
      <c r="N5" s="3">
        <f>LEN(Table13468[[#This Row],[First Name]])</f>
        <v>6</v>
      </c>
      <c r="O5" s="3" t="str">
        <f>PROPER(Table13468[[#This Row],[First Name]])</f>
        <v>Atharv</v>
      </c>
      <c r="P5" s="3" t="str">
        <f>UPPER(Table13468[[#This Row],[First Name]])</f>
        <v>ATHARV</v>
      </c>
    </row>
    <row r="6" spans="1:16" x14ac:dyDescent="0.35">
      <c r="A6" s="10">
        <v>2</v>
      </c>
      <c r="B6" s="10" t="s">
        <v>20</v>
      </c>
      <c r="C6" s="10" t="s">
        <v>21</v>
      </c>
      <c r="D6" s="10">
        <v>70</v>
      </c>
      <c r="E6" s="10">
        <v>63</v>
      </c>
      <c r="F6" s="10">
        <v>77</v>
      </c>
      <c r="G6" s="10">
        <v>71</v>
      </c>
      <c r="H6" s="10">
        <v>69</v>
      </c>
      <c r="I6" s="3">
        <f>SUM(D6:H6)</f>
        <v>350</v>
      </c>
      <c r="J6" s="3">
        <f>I6/5</f>
        <v>70</v>
      </c>
      <c r="K6" s="3">
        <f>(I6/500) *100</f>
        <v>70</v>
      </c>
      <c r="L6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6" s="3">
        <f>COUNTA(Table13468[[#This Row],[Mathematics]]:Table13468[[#This Row],[Social Science]])</f>
        <v>5</v>
      </c>
      <c r="N6" s="3">
        <f>LEN(Table13468[[#This Row],[First Name]])</f>
        <v>5</v>
      </c>
      <c r="O6" s="3" t="str">
        <f>PROPER(Table13468[[#This Row],[First Name]])</f>
        <v>Navya</v>
      </c>
      <c r="P6" s="3" t="str">
        <f>UPPER(Table13468[[#This Row],[First Name]])</f>
        <v>NAVYA</v>
      </c>
    </row>
    <row r="7" spans="1:16" x14ac:dyDescent="0.35">
      <c r="A7" s="10">
        <v>3</v>
      </c>
      <c r="B7" s="10" t="s">
        <v>22</v>
      </c>
      <c r="C7" s="10" t="s">
        <v>23</v>
      </c>
      <c r="D7" s="10">
        <v>70</v>
      </c>
      <c r="E7" s="10">
        <v>78</v>
      </c>
      <c r="F7" s="10">
        <v>70</v>
      </c>
      <c r="G7" s="10">
        <v>65</v>
      </c>
      <c r="H7" s="10">
        <v>70</v>
      </c>
      <c r="I7" s="3">
        <f>SUM(D7:H7)</f>
        <v>353</v>
      </c>
      <c r="J7" s="3">
        <f>I7/5</f>
        <v>70.599999999999994</v>
      </c>
      <c r="K7" s="3">
        <f>(I7/500) *100</f>
        <v>70.599999999999994</v>
      </c>
      <c r="L7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7" s="3">
        <f>COUNTA(Table13468[[#This Row],[Mathematics]]:Table13468[[#This Row],[Social Science]])</f>
        <v>5</v>
      </c>
      <c r="N7" s="3">
        <f>LEN(Table13468[[#This Row],[First Name]])</f>
        <v>6</v>
      </c>
      <c r="O7" s="3" t="str">
        <f>PROPER(Table13468[[#This Row],[First Name]])</f>
        <v>Vivaan</v>
      </c>
      <c r="P7" s="3" t="str">
        <f>UPPER(Table13468[[#This Row],[First Name]])</f>
        <v>VIVAAN</v>
      </c>
    </row>
    <row r="8" spans="1:16" x14ac:dyDescent="0.35">
      <c r="A8" s="10">
        <v>4</v>
      </c>
      <c r="B8" s="10" t="s">
        <v>24</v>
      </c>
      <c r="C8" s="10" t="s">
        <v>25</v>
      </c>
      <c r="D8" s="10">
        <v>63</v>
      </c>
      <c r="E8" s="10"/>
      <c r="F8" s="10">
        <v>85</v>
      </c>
      <c r="G8" s="10">
        <v>64</v>
      </c>
      <c r="H8" s="10">
        <v>92</v>
      </c>
      <c r="I8" s="3">
        <f>SUM(D8:H8)</f>
        <v>304</v>
      </c>
      <c r="J8" s="3">
        <f>I8/5</f>
        <v>60.8</v>
      </c>
      <c r="K8" s="3">
        <f>(I8/500) *100</f>
        <v>60.8</v>
      </c>
      <c r="L8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8" s="3">
        <f>COUNTA(Table13468[[#This Row],[Mathematics]]:Table13468[[#This Row],[Social Science]])</f>
        <v>4</v>
      </c>
      <c r="N8" s="3">
        <f>LEN(Table13468[[#This Row],[First Name]])</f>
        <v>3</v>
      </c>
      <c r="O8" s="3" t="str">
        <f>PROPER(Table13468[[#This Row],[First Name]])</f>
        <v>Ira</v>
      </c>
      <c r="P8" s="3" t="str">
        <f>UPPER(Table13468[[#This Row],[First Name]])</f>
        <v>IRA</v>
      </c>
    </row>
    <row r="9" spans="1:16" x14ac:dyDescent="0.35">
      <c r="A9" s="10">
        <v>5</v>
      </c>
      <c r="B9" s="10" t="s">
        <v>26</v>
      </c>
      <c r="C9" s="10" t="s">
        <v>27</v>
      </c>
      <c r="D9" s="10">
        <v>78</v>
      </c>
      <c r="E9" s="10">
        <v>82</v>
      </c>
      <c r="F9" s="10">
        <v>71</v>
      </c>
      <c r="G9" s="10">
        <v>97</v>
      </c>
      <c r="H9" s="10">
        <v>61</v>
      </c>
      <c r="I9" s="3">
        <f>SUM(D9:H9)</f>
        <v>389</v>
      </c>
      <c r="J9" s="3">
        <f>I9/5</f>
        <v>77.8</v>
      </c>
      <c r="K9" s="3">
        <f>(I9/500) *100</f>
        <v>77.8</v>
      </c>
      <c r="L9" s="3" t="str">
        <f>IF(SUMIF(Table13468[[#This Row],[Mathematics]]:Table13468[[#This Row],[Social Science]],"&gt;=50",Table13468[[#This Row],[Mathematics]]:Table13468[[#This Row],[Social Science]])=SUM(Table13468[[#This Row],[Mathematics]]:Table13468[[#This Row],[Social Science]]),"Pass","Fail")</f>
        <v>Pass</v>
      </c>
      <c r="M9" s="3">
        <f>COUNTA(Table13468[[#This Row],[Mathematics]]:Table13468[[#This Row],[Social Science]])</f>
        <v>5</v>
      </c>
      <c r="N9" s="3">
        <f>LEN(Table13468[[#This Row],[First Name]])</f>
        <v>3</v>
      </c>
      <c r="O9" s="3" t="str">
        <f>PROPER(Table13468[[#This Row],[First Name]])</f>
        <v>Raj</v>
      </c>
      <c r="P9" s="3" t="str">
        <f>UPPER(Table13468[[#This Row],[First Name]])</f>
        <v>RAJ</v>
      </c>
    </row>
    <row r="11" spans="1:16" x14ac:dyDescent="0.35">
      <c r="F11" s="4" t="s">
        <v>28</v>
      </c>
      <c r="G11">
        <f>COUNT(D5:H5)</f>
        <v>5</v>
      </c>
    </row>
    <row r="13" spans="1:16" x14ac:dyDescent="0.35">
      <c r="F13" s="4" t="s">
        <v>29</v>
      </c>
      <c r="G13">
        <f>COUNTIF(Table13468[Is_Fail],"Pass")</f>
        <v>5</v>
      </c>
    </row>
    <row r="15" spans="1:16" x14ac:dyDescent="0.35">
      <c r="F15" s="4" t="s">
        <v>31</v>
      </c>
      <c r="G15">
        <f>COUNTIF(Table13468[Is_Fail],"Fail")</f>
        <v>0</v>
      </c>
    </row>
    <row r="17" spans="6:7" x14ac:dyDescent="0.35">
      <c r="F17" s="4" t="s">
        <v>30</v>
      </c>
      <c r="G17">
        <f>VLOOKUP(A5,Table13468[#All],6,FALSE)</f>
        <v>82</v>
      </c>
    </row>
  </sheetData>
  <mergeCells count="1">
    <mergeCell ref="A2:P2"/>
  </mergeCells>
  <conditionalFormatting sqref="L5:L9">
    <cfRule type="containsText" dxfId="20" priority="1" operator="containsText" text="Pass">
      <formula>NOT(ISERROR(SEARCH("Pass",L5)))</formula>
    </cfRule>
    <cfRule type="containsText" dxfId="19" priority="2" operator="containsText" text="Fail">
      <formula>NOT(ISERROR(SEARCH("Fail",L5)))</formula>
    </cfRule>
    <cfRule type="containsText" dxfId="18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2026-09-21T17:41:32Z</dcterms:modified>
</cp:coreProperties>
</file>